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hidePivotFieldList="1" defaultThemeVersion="124226"/>
  <bookViews>
    <workbookView xWindow="0" yWindow="90" windowWidth="18915" windowHeight="11580" activeTab="1"/>
  </bookViews>
  <sheets>
    <sheet name="Tabelle1" sheetId="16" r:id="rId1"/>
    <sheet name="Data" sheetId="15" r:id="rId2"/>
    <sheet name="Cover" sheetId="1" r:id="rId3"/>
    <sheet name="ExampleTest" sheetId="5" r:id="rId4"/>
  </sheets>
  <functionGroups builtInGroupCount="17"/>
  <calcPr calcId="145621"/>
  <pivotCaches>
    <pivotCache cacheId="0" r:id="rId5"/>
  </pivotCaches>
</workbook>
</file>

<file path=xl/calcChain.xml><?xml version="1.0" encoding="utf-8"?>
<calcChain xmlns="http://schemas.openxmlformats.org/spreadsheetml/2006/main"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" i="15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</calcChain>
</file>

<file path=xl/sharedStrings.xml><?xml version="1.0" encoding="utf-8"?>
<sst xmlns="http://schemas.openxmlformats.org/spreadsheetml/2006/main" count="71" uniqueCount="65">
  <si>
    <t>Name</t>
  </si>
  <si>
    <t>Chg.</t>
  </si>
  <si>
    <t>US 30Y T-Bond</t>
  </si>
  <si>
    <t>US 2 YR T-Note</t>
  </si>
  <si>
    <t>US 5 YR T-Note</t>
  </si>
  <si>
    <t>US 10Y T-Note</t>
  </si>
  <si>
    <t>German 10 YR Bund</t>
  </si>
  <si>
    <t>German 5 YR Bobl</t>
  </si>
  <si>
    <t>Euro SCHATZ</t>
  </si>
  <si>
    <t>Euro-Buxl</t>
  </si>
  <si>
    <t>UK 10Y Gilt</t>
  </si>
  <si>
    <t>Japan Govt. Bond</t>
  </si>
  <si>
    <t>Euribor</t>
  </si>
  <si>
    <t>SONIA</t>
  </si>
  <si>
    <t>Italian 10 YR BTP</t>
  </si>
  <si>
    <t>Euro OAT</t>
  </si>
  <si>
    <t>CHF Govt. Bond</t>
  </si>
  <si>
    <t>Calls the stack overflow example code. The Makro creates a worksheet called "ExampleTest"  containing the latest change values from Website "https://uk.investing.com/rates-bonds/financial-futures"</t>
  </si>
  <si>
    <t>64823 Groß-​Umstadt</t>
  </si>
  <si>
    <t>Roland MC 707 zu verkaufen</t>
  </si>
  <si>
    <t>82194 Gröbenzell</t>
  </si>
  <si>
    <t>Roland MC707 Groovebox</t>
  </si>
  <si>
    <t>38118 Braunschweig</t>
  </si>
  <si>
    <t>Roland MC-707</t>
  </si>
  <si>
    <t>50735 Nippes</t>
  </si>
  <si>
    <t>Digitakt,Digitone,Analog Heath, Roland MC 707, Arturia uvm.</t>
  </si>
  <si>
    <t>Roland MC 707</t>
  </si>
  <si>
    <t xml:space="preserve">61209 Echzell </t>
  </si>
  <si>
    <t>Roland GROOVEBOX MC-707</t>
  </si>
  <si>
    <t>60388 Bergen-​Enkheim</t>
  </si>
  <si>
    <t>Roland MC-707 Groovebox in OVP</t>
  </si>
  <si>
    <t>65201 Wiesbaden</t>
  </si>
  <si>
    <t>Roland MC 707 Groovebox OVP</t>
  </si>
  <si>
    <t>30966 Hemmingen</t>
  </si>
  <si>
    <t>Roland MC 707 inkl. Decksaver + OVP</t>
  </si>
  <si>
    <t>20357 Hamburg Sternschanze</t>
  </si>
  <si>
    <t>Roland MC-707 Goovebox mit OVP und Rechnung</t>
  </si>
  <si>
    <t>73553 Alfdorf</t>
  </si>
  <si>
    <t>Roland Verselab MV-1 | WIE NEU | Groovebox Sampler wie MC-707</t>
  </si>
  <si>
    <t>50674 Köln Altstadt</t>
  </si>
  <si>
    <t>Roland MC 707 mit Decksaver</t>
  </si>
  <si>
    <t>51067 Köln Buchheim</t>
  </si>
  <si>
    <t>88214 Ravensburg</t>
  </si>
  <si>
    <t>35423 Lich</t>
  </si>
  <si>
    <t>Roland Mc 707 im Top zustand letztes Jahr erworben mit Rechnung</t>
  </si>
  <si>
    <t>84513 Töging am Inn</t>
  </si>
  <si>
    <t>MC 707 Roland Groovebox / Synthesizer / Sequenzer</t>
  </si>
  <si>
    <t>67122 Altrip</t>
  </si>
  <si>
    <t>12101 Tempelhof</t>
  </si>
  <si>
    <t>Roland MC 707 mit Cover und Ripcord Adapter</t>
  </si>
  <si>
    <t>04177 Alt-​West</t>
  </si>
  <si>
    <t>MC707 Roland Groovebox/Synthesizer/Sequenzer</t>
  </si>
  <si>
    <t>65428 Rüsselsheim</t>
  </si>
  <si>
    <t>Roland MC 707 mit Tasche und passender Decksaver Staub Abdeckung</t>
  </si>
  <si>
    <t>45145 Frohnhausen</t>
  </si>
  <si>
    <t>Roland MC-707 (OVP)</t>
  </si>
  <si>
    <t>55128 Mainz</t>
  </si>
  <si>
    <t>Roland MC 707 mit Zubehör</t>
  </si>
  <si>
    <t>56357 Holzhausen an der Haide</t>
  </si>
  <si>
    <t>Roland mc 707</t>
  </si>
  <si>
    <t>Datum</t>
  </si>
  <si>
    <t>Location</t>
  </si>
  <si>
    <t>Price</t>
  </si>
  <si>
    <t>Alter in Tagen</t>
  </si>
  <si>
    <t>Preis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</si>
</sst>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\ [$€-407]_-;\-* #,##0.00\ [$€-407]_-;_-* &quot;-&quot;??\ [$€-407]_-;_-@_-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0" fontId="2" fillId="0" borderId="0" xfId="1"/>
    <xf numFmtId="14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left" vertical="top" wrapText="1"/>
    </xf>
  </cellXfs>
  <cellStyles count="2">
    <cellStyle name="Hyperlink" xfId="1" builtinId="8"/>
    <cellStyle name="Standard" xfId="0" builtinId="0"/>
  </cellStyles>
  <dxfs count="2">
    <dxf>
      <numFmt numFmtId="164" formatCode="_-* #,##0.00\ [$€-407]_-;\-* #,##0.00\ [$€-407]_-;_-* &quot;-&quot;??\ [$€-407]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Example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Kleinanzeigen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us Meinhard" refreshedDate="44707.547766898148" createdVersion="4" refreshedVersion="4" minRefreshableVersion="3" recordCount="23">
  <cacheSource type="worksheet">
    <worksheetSource ref="F1:G24" sheet="Data"/>
  </cacheSource>
  <cacheFields count="2">
    <cacheField name="Alter in Tagen" numFmtId="1">
      <sharedItems containsSemiMixedTypes="0" containsString="0" containsNumber="1" containsInteger="1" minValue="2" maxValue="58"/>
    </cacheField>
    <cacheField name="Preis" numFmtId="0">
      <sharedItems containsSemiMixedTypes="0" containsString="0" containsNumber="1" containsInteger="1" minValue="449" maxValue="3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n v="2"/>
    <n v="649"/>
  </r>
  <r>
    <n v="2"/>
    <n v="690"/>
  </r>
  <r>
    <n v="3"/>
    <n v="495"/>
  </r>
  <r>
    <n v="4"/>
    <n v="3600"/>
  </r>
  <r>
    <n v="4"/>
    <n v="700"/>
  </r>
  <r>
    <n v="5"/>
    <n v="800"/>
  </r>
  <r>
    <n v="6"/>
    <n v="550"/>
  </r>
  <r>
    <n v="8"/>
    <n v="565"/>
  </r>
  <r>
    <n v="11"/>
    <n v="575"/>
  </r>
  <r>
    <n v="13"/>
    <n v="670"/>
  </r>
  <r>
    <n v="15"/>
    <n v="449"/>
  </r>
  <r>
    <n v="17"/>
    <n v="630"/>
  </r>
  <r>
    <n v="18"/>
    <n v="600"/>
  </r>
  <r>
    <n v="20"/>
    <n v="649"/>
  </r>
  <r>
    <n v="25"/>
    <n v="705"/>
  </r>
  <r>
    <n v="25"/>
    <n v="750"/>
  </r>
  <r>
    <n v="26"/>
    <n v="679"/>
  </r>
  <r>
    <n v="27"/>
    <n v="630"/>
  </r>
  <r>
    <n v="28"/>
    <n v="700"/>
  </r>
  <r>
    <n v="46"/>
    <n v="850"/>
  </r>
  <r>
    <n v="47"/>
    <n v="800"/>
  </r>
  <r>
    <n v="51"/>
    <n v="650"/>
  </r>
  <r>
    <n v="58"/>
    <n v="8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useAutoFormatting="1" itemPrintTitles="1" createdVersion="4" indent="0" outline="1" outlineData="1" multipleFieldFilters="0">
  <location ref="A3:C20" firstHeaderRow="1" firstDataRow="1" firstDataCol="0"/>
  <pivotFields count="2">
    <pivotField numFmtId="1"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le1" displayName="Tabelle1" ref="A1:D26" totalsRowShown="0">
  <autoFilter ref="A1:D26"/>
  <tableColumns count="4">
    <tableColumn id="1" name="Datum" dataDxfId="1"/>
    <tableColumn id="2" name="Location"/>
    <tableColumn id="3" name="Price" dataDxfId="0"/>
    <tableColumn id="4" name="Name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bay-kleinanzeigen.de/s-anzeige/roland-mc-707-groovebox-ovp/2108697426-74-4902" TargetMode="External"/><Relationship Id="rId13" Type="http://schemas.openxmlformats.org/officeDocument/2006/relationships/hyperlink" Target="https://www.ebay-kleinanzeigen.de/s-anzeige/roland-mc-707/2099951847-74-18686" TargetMode="External"/><Relationship Id="rId18" Type="http://schemas.openxmlformats.org/officeDocument/2006/relationships/hyperlink" Target="https://www.ebay-kleinanzeigen.de/s-anzeige/roland-mc-707-mit-cover-und-ripcord-adapter/2091694865-74-3404" TargetMode="External"/><Relationship Id="rId3" Type="http://schemas.openxmlformats.org/officeDocument/2006/relationships/hyperlink" Target="https://www.ebay-kleinanzeigen.de/s-anzeige/roland-mc-707/2112688380-172-2456" TargetMode="External"/><Relationship Id="rId21" Type="http://schemas.openxmlformats.org/officeDocument/2006/relationships/hyperlink" Target="https://www.ebay-kleinanzeigen.de/s-anzeige/roland-mc-707-ovp-/2073606201-74-2054" TargetMode="External"/><Relationship Id="rId7" Type="http://schemas.openxmlformats.org/officeDocument/2006/relationships/hyperlink" Target="https://www.ebay-kleinanzeigen.de/s-anzeige/roland-mc-707-groovebox-in-ovp/2110541544-74-4301" TargetMode="External"/><Relationship Id="rId12" Type="http://schemas.openxmlformats.org/officeDocument/2006/relationships/hyperlink" Target="https://www.ebay-kleinanzeigen.de/s-anzeige/roland-mc-707-mit-decksaver/2100714896-74-989" TargetMode="External"/><Relationship Id="rId17" Type="http://schemas.openxmlformats.org/officeDocument/2006/relationships/hyperlink" Target="https://www.ebay-kleinanzeigen.de/s-anzeige/roland-mc-707/2092609703-74-5386" TargetMode="External"/><Relationship Id="rId2" Type="http://schemas.openxmlformats.org/officeDocument/2006/relationships/hyperlink" Target="https://www.ebay-kleinanzeigen.de/s-anzeige/roland-mc707-groovebox/2081704399-74-6350" TargetMode="External"/><Relationship Id="rId16" Type="http://schemas.openxmlformats.org/officeDocument/2006/relationships/hyperlink" Target="https://www.ebay-kleinanzeigen.de/s-anzeige/mc-707-roland-groovebox-synthesizer-sequenzer/2094144058-74-6628" TargetMode="External"/><Relationship Id="rId20" Type="http://schemas.openxmlformats.org/officeDocument/2006/relationships/hyperlink" Target="https://www.ebay-kleinanzeigen.de/s-anzeige/roland-mc-707-mit-tasche-und-passender-decksaver-staub-abdeckung/2075282114-74-4816" TargetMode="External"/><Relationship Id="rId1" Type="http://schemas.openxmlformats.org/officeDocument/2006/relationships/hyperlink" Target="https://www.ebay-kleinanzeigen.de/s-anzeige/roland-mc-707-zu-verkaufen/2114265722-74-4472" TargetMode="External"/><Relationship Id="rId6" Type="http://schemas.openxmlformats.org/officeDocument/2006/relationships/hyperlink" Target="https://www.ebay-kleinanzeigen.de/s-anzeige/roland-groovebox-mc-707/2111215227-74-4683" TargetMode="External"/><Relationship Id="rId11" Type="http://schemas.openxmlformats.org/officeDocument/2006/relationships/hyperlink" Target="https://www.ebay-kleinanzeigen.de/s-anzeige/roland-verselab-mv-1-wie-neu-groovebox-sampler-wie-mc-707/2102036848-74-19032" TargetMode="External"/><Relationship Id="rId24" Type="http://schemas.openxmlformats.org/officeDocument/2006/relationships/table" Target="../tables/table1.xml"/><Relationship Id="rId5" Type="http://schemas.openxmlformats.org/officeDocument/2006/relationships/hyperlink" Target="https://www.ebay-kleinanzeigen.de/s-anzeige/roland-mc-707/2111793809-74-994" TargetMode="External"/><Relationship Id="rId15" Type="http://schemas.openxmlformats.org/officeDocument/2006/relationships/hyperlink" Target="https://www.ebay-kleinanzeigen.de/s-anzeige/roland-mc-707-im-top-zustand-letztes-jahr-erworben-mit-rechnung/2094193131-74-4665" TargetMode="External"/><Relationship Id="rId23" Type="http://schemas.openxmlformats.org/officeDocument/2006/relationships/hyperlink" Target="https://www.ebay-kleinanzeigen.de/s-anzeige/roland-mc-707/2063806521-74-19946" TargetMode="External"/><Relationship Id="rId10" Type="http://schemas.openxmlformats.org/officeDocument/2006/relationships/hyperlink" Target="https://www.ebay-kleinanzeigen.de/s-anzeige/roland-mc-707-goovebox-mit-ovp-und-rechnung/2103837035-74-9431" TargetMode="External"/><Relationship Id="rId19" Type="http://schemas.openxmlformats.org/officeDocument/2006/relationships/hyperlink" Target="https://www.ebay-kleinanzeigen.de/s-anzeige/mc707-roland-groovebox-synthesizer-sequenzer/2091110921-74-4234" TargetMode="External"/><Relationship Id="rId4" Type="http://schemas.openxmlformats.org/officeDocument/2006/relationships/hyperlink" Target="https://www.ebay-kleinanzeigen.de/s-anzeige/digitakt-digitone-analog-heath-roland-mc-707-arturia-uvm-/2111819947-74-994" TargetMode="External"/><Relationship Id="rId9" Type="http://schemas.openxmlformats.org/officeDocument/2006/relationships/hyperlink" Target="https://www.ebay-kleinanzeigen.de/s-anzeige/roland-mc-707-inkl-decksaver-ovp/2105458892-74-2899" TargetMode="External"/><Relationship Id="rId14" Type="http://schemas.openxmlformats.org/officeDocument/2006/relationships/hyperlink" Target="https://www.ebay-kleinanzeigen.de/s-anzeige/roland-mc-707/2097722652-74-9223" TargetMode="External"/><Relationship Id="rId22" Type="http://schemas.openxmlformats.org/officeDocument/2006/relationships/hyperlink" Target="https://www.ebay-kleinanzeigen.de/s-anzeige/roland-mc-707-mit-zubehoer/2070519071-74-5321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6"/>
      <c r="B3" s="7"/>
      <c r="C3" s="8"/>
    </row>
    <row r="4" spans="1:3" x14ac:dyDescent="0.25">
      <c r="A4" s="9"/>
      <c r="B4" s="10"/>
      <c r="C4" s="11"/>
    </row>
    <row r="5" spans="1:3" x14ac:dyDescent="0.25">
      <c r="A5" s="9"/>
      <c r="B5" s="10"/>
      <c r="C5" s="11"/>
    </row>
    <row r="6" spans="1:3" x14ac:dyDescent="0.25">
      <c r="A6" s="9"/>
      <c r="B6" s="10"/>
      <c r="C6" s="11"/>
    </row>
    <row r="7" spans="1:3" x14ac:dyDescent="0.25">
      <c r="A7" s="9"/>
      <c r="B7" s="10"/>
      <c r="C7" s="11"/>
    </row>
    <row r="8" spans="1:3" x14ac:dyDescent="0.25">
      <c r="A8" s="9"/>
      <c r="B8" s="10"/>
      <c r="C8" s="11"/>
    </row>
    <row r="9" spans="1:3" x14ac:dyDescent="0.25">
      <c r="A9" s="9"/>
      <c r="B9" s="10"/>
      <c r="C9" s="11"/>
    </row>
    <row r="10" spans="1:3" x14ac:dyDescent="0.25">
      <c r="A10" s="9"/>
      <c r="B10" s="10"/>
      <c r="C10" s="11"/>
    </row>
    <row r="11" spans="1:3" x14ac:dyDescent="0.25">
      <c r="A11" s="9"/>
      <c r="B11" s="10"/>
      <c r="C11" s="11"/>
    </row>
    <row r="12" spans="1:3" x14ac:dyDescent="0.25">
      <c r="A12" s="9"/>
      <c r="B12" s="10"/>
      <c r="C12" s="11"/>
    </row>
    <row r="13" spans="1:3" x14ac:dyDescent="0.25">
      <c r="A13" s="9"/>
      <c r="B13" s="10"/>
      <c r="C13" s="11"/>
    </row>
    <row r="14" spans="1:3" x14ac:dyDescent="0.25">
      <c r="A14" s="9"/>
      <c r="B14" s="10"/>
      <c r="C14" s="11"/>
    </row>
    <row r="15" spans="1:3" x14ac:dyDescent="0.25">
      <c r="A15" s="9"/>
      <c r="B15" s="10"/>
      <c r="C15" s="11"/>
    </row>
    <row r="16" spans="1:3" x14ac:dyDescent="0.25">
      <c r="A16" s="9"/>
      <c r="B16" s="10"/>
      <c r="C16" s="11"/>
    </row>
    <row r="17" spans="1:3" x14ac:dyDescent="0.25">
      <c r="A17" s="9"/>
      <c r="B17" s="10"/>
      <c r="C17" s="11"/>
    </row>
    <row r="18" spans="1:3" x14ac:dyDescent="0.25">
      <c r="A18" s="9"/>
      <c r="B18" s="10"/>
      <c r="C18" s="11"/>
    </row>
    <row r="19" spans="1:3" x14ac:dyDescent="0.25">
      <c r="A19" s="9"/>
      <c r="B19" s="10"/>
      <c r="C19" s="11"/>
    </row>
    <row r="20" spans="1:3" x14ac:dyDescent="0.25">
      <c r="A20" s="12"/>
      <c r="B20" s="13"/>
      <c r="C20" s="14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H26"/>
  <sheetViews>
    <sheetView tabSelected="1" workbookViewId="0">
      <selection activeCell="A29" sqref="A29"/>
    </sheetView>
  </sheetViews>
  <sheetFormatPr baseColWidth="10" defaultRowHeight="15" x14ac:dyDescent="0.25"/>
  <cols>
    <col min="1" max="1" width="146.42578125" style="3" customWidth="1"/>
    <col min="2" max="2" width="28.7109375" bestFit="1" customWidth="1"/>
    <col min="3" max="3" width="11" style="1" bestFit="1" customWidth="1"/>
    <col min="4" max="4" width="63.7109375" bestFit="1" customWidth="1"/>
    <col min="6" max="6" width="16.140625" style="5" customWidth="1"/>
  </cols>
  <sheetData>
    <row r="1" spans="1:8" x14ac:dyDescent="0.25">
      <c r="A1" s="3" t="s">
        <v>60</v>
      </c>
      <c r="B1" t="s">
        <v>61</v>
      </c>
      <c r="C1" s="1" t="s">
        <v>62</v>
      </c>
      <c r="D1" t="s">
        <v>0</v>
      </c>
      <c r="F1" s="5" t="s">
        <v>63</v>
      </c>
      <c r="G1" t="s">
        <v>64</v>
      </c>
    </row>
    <row r="2" spans="1:8" x14ac:dyDescent="0.25">
      <c r="A2" s="3">
        <v>44705</v>
      </c>
      <c r="B2" t="s">
        <v>18</v>
      </c>
      <c r="C2" s="1">
        <v>649</v>
      </c>
      <c r="D2" s="2" t="s">
        <v>19</v>
      </c>
      <c r="F2" s="5">
        <f ca="1">DATEDIF(Tabelle1[[#This Row],[Datum]],TODAY(),"d")</f>
        <v>4</v>
      </c>
      <c r="G2">
        <f>Tabelle1[[#This Row],[Price]]</f>
        <v>649</v>
      </c>
    </row>
    <row r="3" spans="1:8" x14ac:dyDescent="0.25">
      <c r="A3" s="3">
        <v>44705</v>
      </c>
      <c r="B3" t="s">
        <v>20</v>
      </c>
      <c r="C3" s="1">
        <v>690</v>
      </c>
      <c r="D3" s="2" t="s">
        <v>21</v>
      </c>
      <c r="F3" s="5">
        <f ca="1">DATEDIF(Tabelle1[[#This Row],[Datum]],TODAY(),"d")</f>
        <v>4</v>
      </c>
      <c r="G3">
        <f>Tabelle1[[#This Row],[Price]]</f>
        <v>690</v>
      </c>
    </row>
    <row r="4" spans="1:8" x14ac:dyDescent="0.25">
      <c r="A4" s="3">
        <v>44704</v>
      </c>
      <c r="B4" t="s">
        <v>22</v>
      </c>
      <c r="C4" s="1">
        <v>495</v>
      </c>
      <c r="D4" s="2" t="s">
        <v>23</v>
      </c>
      <c r="F4" s="5">
        <f ca="1">DATEDIF(Tabelle1[[#This Row],[Datum]],TODAY(),"d")</f>
        <v>5</v>
      </c>
      <c r="G4">
        <f>Tabelle1[[#This Row],[Price]]</f>
        <v>495</v>
      </c>
    </row>
    <row r="5" spans="1:8" x14ac:dyDescent="0.25">
      <c r="A5" s="3">
        <v>44703</v>
      </c>
      <c r="B5" t="s">
        <v>24</v>
      </c>
      <c r="C5" s="1">
        <v>3600</v>
      </c>
      <c r="D5" s="2" t="s">
        <v>25</v>
      </c>
      <c r="F5" s="5">
        <f ca="1">DATEDIF(Tabelle1[[#This Row],[Datum]],TODAY(),"d")</f>
        <v>6</v>
      </c>
      <c r="G5">
        <f>Tabelle1[[#This Row],[Price]]</f>
        <v>3600</v>
      </c>
      <c r="H5" s="4"/>
    </row>
    <row r="6" spans="1:8" x14ac:dyDescent="0.25">
      <c r="A6" s="3">
        <v>44703</v>
      </c>
      <c r="B6" t="s">
        <v>24</v>
      </c>
      <c r="C6" s="1">
        <v>700</v>
      </c>
      <c r="D6" s="2" t="s">
        <v>26</v>
      </c>
      <c r="F6" s="5">
        <f ca="1">DATEDIF(Tabelle1[[#This Row],[Datum]],TODAY(),"d")</f>
        <v>6</v>
      </c>
      <c r="G6">
        <f>Tabelle1[[#This Row],[Price]]</f>
        <v>700</v>
      </c>
    </row>
    <row r="7" spans="1:8" x14ac:dyDescent="0.25">
      <c r="A7" s="3">
        <v>44702</v>
      </c>
      <c r="B7" t="s">
        <v>27</v>
      </c>
      <c r="C7" s="1">
        <v>800</v>
      </c>
      <c r="D7" s="2" t="s">
        <v>28</v>
      </c>
      <c r="F7" s="5">
        <f ca="1">DATEDIF(Tabelle1[[#This Row],[Datum]],TODAY(),"d")</f>
        <v>7</v>
      </c>
      <c r="G7">
        <f>Tabelle1[[#This Row],[Price]]</f>
        <v>800</v>
      </c>
    </row>
    <row r="8" spans="1:8" x14ac:dyDescent="0.25">
      <c r="A8" s="3">
        <v>44701</v>
      </c>
      <c r="B8" t="s">
        <v>29</v>
      </c>
      <c r="C8" s="1">
        <v>550</v>
      </c>
      <c r="D8" s="2" t="s">
        <v>30</v>
      </c>
      <c r="F8" s="5">
        <f ca="1">DATEDIF(Tabelle1[[#This Row],[Datum]],TODAY(),"d")</f>
        <v>8</v>
      </c>
      <c r="G8">
        <f>Tabelle1[[#This Row],[Price]]</f>
        <v>550</v>
      </c>
    </row>
    <row r="9" spans="1:8" x14ac:dyDescent="0.25">
      <c r="A9" s="3">
        <v>44699</v>
      </c>
      <c r="B9" t="s">
        <v>31</v>
      </c>
      <c r="C9" s="1">
        <v>565</v>
      </c>
      <c r="D9" s="2" t="s">
        <v>32</v>
      </c>
      <c r="F9" s="5">
        <f ca="1">DATEDIF(Tabelle1[[#This Row],[Datum]],TODAY(),"d")</f>
        <v>10</v>
      </c>
      <c r="G9">
        <f>Tabelle1[[#This Row],[Price]]</f>
        <v>565</v>
      </c>
    </row>
    <row r="10" spans="1:8" x14ac:dyDescent="0.25">
      <c r="A10" s="3">
        <v>44696</v>
      </c>
      <c r="B10" t="s">
        <v>33</v>
      </c>
      <c r="C10" s="1">
        <v>575</v>
      </c>
      <c r="D10" s="2" t="s">
        <v>34</v>
      </c>
      <c r="F10" s="5">
        <f ca="1">DATEDIF(Tabelle1[[#This Row],[Datum]],TODAY(),"d")</f>
        <v>13</v>
      </c>
      <c r="G10">
        <f>Tabelle1[[#This Row],[Price]]</f>
        <v>575</v>
      </c>
    </row>
    <row r="11" spans="1:8" x14ac:dyDescent="0.25">
      <c r="A11" s="3">
        <v>44694</v>
      </c>
      <c r="B11" t="s">
        <v>35</v>
      </c>
      <c r="C11" s="1">
        <v>670</v>
      </c>
      <c r="D11" s="2" t="s">
        <v>36</v>
      </c>
      <c r="F11" s="5">
        <f ca="1">DATEDIF(Tabelle1[[#This Row],[Datum]],TODAY(),"d")</f>
        <v>15</v>
      </c>
      <c r="G11">
        <f>Tabelle1[[#This Row],[Price]]</f>
        <v>670</v>
      </c>
    </row>
    <row r="12" spans="1:8" x14ac:dyDescent="0.25">
      <c r="A12" s="3">
        <v>44692</v>
      </c>
      <c r="B12" t="s">
        <v>37</v>
      </c>
      <c r="C12" s="1">
        <v>449</v>
      </c>
      <c r="D12" s="2" t="s">
        <v>38</v>
      </c>
      <c r="F12" s="5">
        <f ca="1">DATEDIF(Tabelle1[[#This Row],[Datum]],TODAY(),"d")</f>
        <v>17</v>
      </c>
      <c r="G12">
        <f>Tabelle1[[#This Row],[Price]]</f>
        <v>449</v>
      </c>
    </row>
    <row r="13" spans="1:8" x14ac:dyDescent="0.25">
      <c r="A13" s="3">
        <v>44690</v>
      </c>
      <c r="B13" t="s">
        <v>39</v>
      </c>
      <c r="C13" s="1">
        <v>630</v>
      </c>
      <c r="D13" s="2" t="s">
        <v>40</v>
      </c>
      <c r="F13" s="5">
        <f ca="1">DATEDIF(Tabelle1[[#This Row],[Datum]],TODAY(),"d")</f>
        <v>19</v>
      </c>
      <c r="G13">
        <f>Tabelle1[[#This Row],[Price]]</f>
        <v>630</v>
      </c>
    </row>
    <row r="14" spans="1:8" x14ac:dyDescent="0.25">
      <c r="A14" s="3">
        <v>44689</v>
      </c>
      <c r="B14" t="s">
        <v>41</v>
      </c>
      <c r="C14" s="1">
        <v>600</v>
      </c>
      <c r="D14" s="2" t="s">
        <v>26</v>
      </c>
      <c r="F14" s="5">
        <f ca="1">DATEDIF(Tabelle1[[#This Row],[Datum]],TODAY(),"d")</f>
        <v>20</v>
      </c>
      <c r="G14">
        <f>Tabelle1[[#This Row],[Price]]</f>
        <v>600</v>
      </c>
    </row>
    <row r="15" spans="1:8" x14ac:dyDescent="0.25">
      <c r="A15" s="3">
        <v>44687</v>
      </c>
      <c r="B15" t="s">
        <v>42</v>
      </c>
      <c r="C15" s="1">
        <v>649</v>
      </c>
      <c r="D15" s="2" t="s">
        <v>26</v>
      </c>
      <c r="F15" s="5">
        <f ca="1">DATEDIF(Tabelle1[[#This Row],[Datum]],TODAY(),"d")</f>
        <v>22</v>
      </c>
      <c r="G15">
        <f>Tabelle1[[#This Row],[Price]]</f>
        <v>649</v>
      </c>
    </row>
    <row r="16" spans="1:8" x14ac:dyDescent="0.25">
      <c r="A16" s="3">
        <v>44682</v>
      </c>
      <c r="B16" t="s">
        <v>43</v>
      </c>
      <c r="C16" s="1">
        <v>705</v>
      </c>
      <c r="D16" s="2" t="s">
        <v>44</v>
      </c>
      <c r="F16" s="5">
        <f ca="1">DATEDIF(Tabelle1[[#This Row],[Datum]],TODAY(),"d")</f>
        <v>27</v>
      </c>
      <c r="G16">
        <f>Tabelle1[[#This Row],[Price]]</f>
        <v>705</v>
      </c>
    </row>
    <row r="17" spans="1:7" x14ac:dyDescent="0.25">
      <c r="A17" s="3">
        <v>44682</v>
      </c>
      <c r="B17" t="s">
        <v>45</v>
      </c>
      <c r="C17" s="1">
        <v>750</v>
      </c>
      <c r="D17" s="2" t="s">
        <v>46</v>
      </c>
      <c r="F17" s="5">
        <f ca="1">DATEDIF(Tabelle1[[#This Row],[Datum]],TODAY(),"d")</f>
        <v>27</v>
      </c>
      <c r="G17">
        <f>Tabelle1[[#This Row],[Price]]</f>
        <v>750</v>
      </c>
    </row>
    <row r="18" spans="1:7" x14ac:dyDescent="0.25">
      <c r="A18" s="3">
        <v>44681</v>
      </c>
      <c r="B18" t="s">
        <v>47</v>
      </c>
      <c r="C18" s="1">
        <v>679</v>
      </c>
      <c r="D18" s="2" t="s">
        <v>23</v>
      </c>
      <c r="F18" s="5">
        <f ca="1">DATEDIF(Tabelle1[[#This Row],[Datum]],TODAY(),"d")</f>
        <v>28</v>
      </c>
      <c r="G18">
        <f>Tabelle1[[#This Row],[Price]]</f>
        <v>679</v>
      </c>
    </row>
    <row r="19" spans="1:7" x14ac:dyDescent="0.25">
      <c r="A19" s="3">
        <v>44680</v>
      </c>
      <c r="B19" t="s">
        <v>48</v>
      </c>
      <c r="C19" s="1">
        <v>630</v>
      </c>
      <c r="D19" s="2" t="s">
        <v>49</v>
      </c>
      <c r="F19" s="5">
        <f ca="1">DATEDIF(Tabelle1[[#This Row],[Datum]],TODAY(),"d")</f>
        <v>29</v>
      </c>
      <c r="G19">
        <f>Tabelle1[[#This Row],[Price]]</f>
        <v>630</v>
      </c>
    </row>
    <row r="20" spans="1:7" x14ac:dyDescent="0.25">
      <c r="A20" s="3">
        <v>44679</v>
      </c>
      <c r="B20" t="s">
        <v>50</v>
      </c>
      <c r="C20" s="1">
        <v>700</v>
      </c>
      <c r="D20" s="2" t="s">
        <v>51</v>
      </c>
      <c r="F20" s="5">
        <f ca="1">DATEDIF(Tabelle1[[#This Row],[Datum]],TODAY(),"d")</f>
        <v>30</v>
      </c>
      <c r="G20">
        <f>Tabelle1[[#This Row],[Price]]</f>
        <v>700</v>
      </c>
    </row>
    <row r="21" spans="1:7" x14ac:dyDescent="0.25">
      <c r="A21" s="3">
        <v>44661</v>
      </c>
      <c r="B21" t="s">
        <v>52</v>
      </c>
      <c r="C21" s="1">
        <v>850</v>
      </c>
      <c r="D21" s="2" t="s">
        <v>53</v>
      </c>
      <c r="F21" s="5">
        <f ca="1">DATEDIF(Tabelle1[[#This Row],[Datum]],TODAY(),"d")</f>
        <v>48</v>
      </c>
      <c r="G21">
        <f>Tabelle1[[#This Row],[Price]]</f>
        <v>850</v>
      </c>
    </row>
    <row r="22" spans="1:7" x14ac:dyDescent="0.25">
      <c r="A22" s="3">
        <v>44660</v>
      </c>
      <c r="B22" t="s">
        <v>54</v>
      </c>
      <c r="C22" s="1">
        <v>800</v>
      </c>
      <c r="D22" s="2" t="s">
        <v>55</v>
      </c>
      <c r="F22" s="5">
        <f ca="1">DATEDIF(Tabelle1[[#This Row],[Datum]],TODAY(),"d")</f>
        <v>49</v>
      </c>
      <c r="G22">
        <f>Tabelle1[[#This Row],[Price]]</f>
        <v>800</v>
      </c>
    </row>
    <row r="23" spans="1:7" x14ac:dyDescent="0.25">
      <c r="A23" s="3">
        <v>44656</v>
      </c>
      <c r="B23" t="s">
        <v>56</v>
      </c>
      <c r="C23" s="1">
        <v>650</v>
      </c>
      <c r="D23" s="2" t="s">
        <v>57</v>
      </c>
      <c r="F23" s="5">
        <f ca="1">DATEDIF(Tabelle1[[#This Row],[Datum]],TODAY(),"d")</f>
        <v>53</v>
      </c>
      <c r="G23">
        <f>Tabelle1[[#This Row],[Price]]</f>
        <v>650</v>
      </c>
    </row>
    <row r="24" spans="1:7" x14ac:dyDescent="0.25">
      <c r="A24" s="3">
        <v>44649</v>
      </c>
      <c r="B24" t="s">
        <v>58</v>
      </c>
      <c r="C24" s="1">
        <v>865</v>
      </c>
      <c r="D24" s="2" t="s">
        <v>59</v>
      </c>
      <c r="F24" s="5">
        <f ca="1">DATEDIF(Tabelle1[[#This Row],[Datum]],TODAY(),"d")</f>
        <v>60</v>
      </c>
      <c r="G24">
        <f>Tabelle1[[#This Row],[Price]]</f>
        <v>865</v>
      </c>
    </row>
    <row r="25" spans="1:7" x14ac:dyDescent="0.25">
      <c r="A25" s="3">
        <v>9999999</v>
      </c>
      <c r="D25" s="2"/>
    </row>
    <row r="26" spans="1:7" x14ac:dyDescent="0.25">
      <c r="A26" s="3">
        <v>44562</v>
      </c>
      <c r="D26" s="2"/>
    </row>
  </sheetData>
  <hyperlinks>
    <hyperlink ref="D2" r:id="rId1"/>
    <hyperlink ref="D3" r:id="rId2"/>
    <hyperlink ref="D4" r:id="rId3"/>
    <hyperlink ref="D5" r:id="rId4"/>
    <hyperlink ref="D6" r:id="rId5"/>
    <hyperlink ref="D7" r:id="rId6"/>
    <hyperlink ref="D8" r:id="rId7"/>
    <hyperlink ref="D9" r:id="rId8"/>
    <hyperlink ref="D10" r:id="rId9"/>
    <hyperlink ref="D11" r:id="rId10"/>
    <hyperlink ref="D12" r:id="rId11"/>
    <hyperlink ref="D13" r:id="rId12"/>
    <hyperlink ref="D14" r:id="rId13"/>
    <hyperlink ref="D15" r:id="rId14"/>
    <hyperlink ref="D16" r:id="rId15"/>
    <hyperlink ref="D17" r:id="rId16"/>
    <hyperlink ref="D18" r:id="rId17"/>
    <hyperlink ref="D19" r:id="rId18"/>
    <hyperlink ref="D20" r:id="rId19"/>
    <hyperlink ref="D21" r:id="rId20"/>
    <hyperlink ref="D22" r:id="rId21"/>
    <hyperlink ref="D23" r:id="rId22"/>
    <hyperlink ref="D24" r:id="rId23"/>
  </hyperlinks>
  <pageMargins left="0.7" right="0.7" top="0.78740157499999996" bottom="0.78740157499999996" header="0.3" footer="0.3"/>
  <tableParts count="1">
    <tablePart r:id="rId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X7"/>
  <sheetViews>
    <sheetView workbookViewId="0">
      <selection activeCell="R15" sqref="R15"/>
    </sheetView>
  </sheetViews>
  <sheetFormatPr baseColWidth="10" defaultColWidth="3.7109375" defaultRowHeight="15" x14ac:dyDescent="0.25"/>
  <cols>
    <col min="2" max="2" width="16.28515625" bestFit="1" customWidth="1"/>
  </cols>
  <sheetData>
    <row r="2" spans="2:24" ht="15" customHeight="1" x14ac:dyDescent="0.25">
      <c r="H2" s="15" t="s">
        <v>17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2:24" x14ac:dyDescent="0.25">
      <c r="B3" t="s">
        <v>20</v>
      </c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2:24" x14ac:dyDescent="0.25"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spans="2:24" x14ac:dyDescent="0.25"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x14ac:dyDescent="0.25"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2:24" x14ac:dyDescent="0.25"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</sheetData>
  <mergeCells count="1">
    <mergeCell ref="H2:X7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_Mai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le1.SearchButton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16"/>
  <sheetViews>
    <sheetView workbookViewId="0">
      <selection activeCell="I18" sqref="I18"/>
    </sheetView>
  </sheetViews>
  <sheetFormatPr baseColWidth="10" defaultRowHeight="15" x14ac:dyDescent="0.25"/>
  <cols>
    <col min="1" max="1" width="24.140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1.19</v>
      </c>
    </row>
    <row r="3" spans="1:2" x14ac:dyDescent="0.25">
      <c r="A3" t="s">
        <v>3</v>
      </c>
      <c r="B3">
        <v>7.0000000000000007E-2</v>
      </c>
    </row>
    <row r="4" spans="1:2" x14ac:dyDescent="0.25">
      <c r="A4" t="s">
        <v>4</v>
      </c>
      <c r="B4">
        <v>0.19</v>
      </c>
    </row>
    <row r="5" spans="1:2" x14ac:dyDescent="0.25">
      <c r="A5" t="s">
        <v>5</v>
      </c>
      <c r="B5">
        <v>0.42</v>
      </c>
    </row>
    <row r="6" spans="1:2" x14ac:dyDescent="0.25">
      <c r="A6" t="s">
        <v>6</v>
      </c>
      <c r="B6">
        <v>0.08</v>
      </c>
    </row>
    <row r="7" spans="1:2" x14ac:dyDescent="0.25">
      <c r="A7" t="s">
        <v>7</v>
      </c>
      <c r="B7">
        <v>0.09</v>
      </c>
    </row>
    <row r="8" spans="1:2" x14ac:dyDescent="0.25">
      <c r="A8" t="s">
        <v>8</v>
      </c>
      <c r="B8">
        <v>8.2000000000000003E-2</v>
      </c>
    </row>
    <row r="9" spans="1:2" x14ac:dyDescent="0.25">
      <c r="A9" t="s">
        <v>9</v>
      </c>
      <c r="B9">
        <v>-0.56999999999999995</v>
      </c>
    </row>
    <row r="10" spans="1:2" x14ac:dyDescent="0.25">
      <c r="A10" t="s">
        <v>10</v>
      </c>
      <c r="B10">
        <v>-0.12</v>
      </c>
    </row>
    <row r="11" spans="1:2" x14ac:dyDescent="0.25">
      <c r="A11" t="s">
        <v>11</v>
      </c>
      <c r="B11">
        <v>0.2</v>
      </c>
    </row>
    <row r="12" spans="1:2" x14ac:dyDescent="0.25">
      <c r="A12" t="s">
        <v>12</v>
      </c>
      <c r="B12">
        <v>0</v>
      </c>
    </row>
    <row r="13" spans="1:2" x14ac:dyDescent="0.25">
      <c r="A13" t="s">
        <v>13</v>
      </c>
      <c r="B13">
        <v>0</v>
      </c>
    </row>
    <row r="14" spans="1:2" x14ac:dyDescent="0.25">
      <c r="A14" t="s">
        <v>14</v>
      </c>
      <c r="B14">
        <v>-0.65</v>
      </c>
    </row>
    <row r="15" spans="1:2" x14ac:dyDescent="0.25">
      <c r="A15" t="s">
        <v>15</v>
      </c>
      <c r="B15">
        <v>0.12</v>
      </c>
    </row>
    <row r="16" spans="1:2" x14ac:dyDescent="0.25">
      <c r="A16" t="s">
        <v>16</v>
      </c>
      <c r="B16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Data</vt:lpstr>
      <vt:lpstr>Cover</vt:lpstr>
      <vt:lpstr>ExampleTest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Meinhard</dc:creator>
  <cp:lastModifiedBy>Markus Meinhard</cp:lastModifiedBy>
  <dcterms:created xsi:type="dcterms:W3CDTF">2022-05-22T17:32:33Z</dcterms:created>
  <dcterms:modified xsi:type="dcterms:W3CDTF">2022-05-28T09:51:03Z</dcterms:modified>
</cp:coreProperties>
</file>